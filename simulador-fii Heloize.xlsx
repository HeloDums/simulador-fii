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Users\heloize.dums_tradica\Desktop\"/>
    </mc:Choice>
  </mc:AlternateContent>
  <xr:revisionPtr revIDLastSave="0" documentId="13_ncr:1_{AF50B62E-A2D1-4074-988F-1B59AA76089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imulador" sheetId="1" r:id="rId1"/>
    <sheet name="Apoio" sheetId="2" r:id="rId2"/>
  </sheets>
  <definedNames>
    <definedName name="aporte">Simulador!$D$12</definedName>
    <definedName name="dividendos_mensais">Simulador!$D$16</definedName>
    <definedName name="lista_perfis">Apoio!$F$4:$F$6</definedName>
    <definedName name="patrimonio">Simulador!$D$15</definedName>
    <definedName name="pct_sugestao">Simulador!$D$8</definedName>
    <definedName name="perfil_escolhido">Simulador!$C$28</definedName>
    <definedName name="qtd_anos">Simulador!$D$13</definedName>
    <definedName name="rendimento_carteira">Simulador!$D$7</definedName>
    <definedName name="salario">Simulador!$D$6</definedName>
    <definedName name="sugestao_investimento">Simulador!$D$9</definedName>
    <definedName name="tabela_perfis">Apoio!$A$4:$D$21</definedName>
    <definedName name="taxa_mensal">Simulador!$D$14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" i="1" l="1"/>
  <c r="A21" i="2"/>
  <c r="A20" i="2"/>
  <c r="A19" i="2"/>
  <c r="A18" i="2"/>
  <c r="A17" i="2"/>
  <c r="A16" i="2"/>
  <c r="A15" i="2"/>
  <c r="A14" i="2"/>
  <c r="A13" i="2"/>
  <c r="A12" i="2"/>
  <c r="C35" i="1" s="1"/>
  <c r="D35" i="1" s="1"/>
  <c r="A11" i="2"/>
  <c r="A10" i="2"/>
  <c r="A9" i="2"/>
  <c r="A8" i="2"/>
  <c r="A7" i="2"/>
  <c r="G6" i="2"/>
  <c r="H6" i="2" s="1"/>
  <c r="A6" i="2"/>
  <c r="G5" i="2"/>
  <c r="H5" i="2" s="1"/>
  <c r="A5" i="2"/>
  <c r="C33" i="1" s="1"/>
  <c r="D33" i="1" s="1"/>
  <c r="H4" i="2"/>
  <c r="G4" i="2"/>
  <c r="A4" i="2"/>
  <c r="C34" i="1" s="1"/>
  <c r="D34" i="1" s="1"/>
  <c r="C29" i="1"/>
  <c r="D25" i="1"/>
  <c r="E25" i="1" s="1"/>
  <c r="B25" i="1"/>
  <c r="D24" i="1"/>
  <c r="E24" i="1" s="1"/>
  <c r="B24" i="1"/>
  <c r="D23" i="1"/>
  <c r="E23" i="1" s="1"/>
  <c r="B23" i="1"/>
  <c r="D22" i="1"/>
  <c r="E22" i="1" s="1"/>
  <c r="B22" i="1"/>
  <c r="D21" i="1"/>
  <c r="E21" i="1" s="1"/>
  <c r="B21" i="1"/>
  <c r="D17" i="1"/>
  <c r="D15" i="1"/>
  <c r="D16" i="1" s="1"/>
  <c r="C36" i="1" l="1"/>
  <c r="D36" i="1" s="1"/>
  <c r="C37" i="1"/>
  <c r="D37" i="1" s="1"/>
  <c r="C32" i="1"/>
  <c r="D32" i="1" l="1"/>
  <c r="D38" i="1" s="1"/>
  <c r="C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7" authorId="0" shapeId="0" xr:uid="{00000000-0006-0000-0000-000001000000}">
      <text>
        <r>
          <rPr>
            <sz val="10"/>
            <rFont val="Arial"/>
            <family val="2"/>
          </rPr>
          <t>Premissa de exemplo: % do patrimônio que vira dividendo por mês.</t>
        </r>
      </text>
    </comment>
    <comment ref="D14" authorId="0" shapeId="0" xr:uid="{00000000-0006-0000-0000-000002000000}">
      <text>
        <r>
          <rPr>
            <sz val="10"/>
            <rFont val="Arial"/>
            <family val="2"/>
          </rPr>
          <t>Premissa de exemplo: rendimento mensal total (dividendos reinvestidos).</t>
        </r>
      </text>
    </comment>
  </commentList>
</comments>
</file>

<file path=xl/sharedStrings.xml><?xml version="1.0" encoding="utf-8"?>
<sst xmlns="http://schemas.openxmlformats.org/spreadsheetml/2006/main" count="80" uniqueCount="42">
  <si>
    <t>CONFIGURAÇÕES</t>
  </si>
  <si>
    <t>Salário (exemplo)</t>
  </si>
  <si>
    <t>Rendimento da carteira (dividendos/mês)</t>
  </si>
  <si>
    <t>% do salário sugerido para investir</t>
  </si>
  <si>
    <t>Sugestão de investimento mensal</t>
  </si>
  <si>
    <t>SIMULAÇÃO DE 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</si>
  <si>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</si>
  <si>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</si>
  <si>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</si>
  <si>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</si>
  <si>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</si>
  <si>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Total tirado do bolso (aportes)</t>
  </si>
  <si>
    <t>CENÁRIOS DE 2 A 30 ANOS</t>
  </si>
  <si>
    <t>Cenário</t>
  </si>
  <si>
    <t>Anos</t>
  </si>
  <si>
    <t>Patrimônio acumulado</t>
  </si>
  <si>
    <t>Dividendos/mês</t>
  </si>
  <si>
    <t>DIVISÃO DO APORTE POR PERFIL</t>
  </si>
  <si>
    <t>Perfil de investidor (escolha na lista)</t>
  </si>
  <si>
    <t>Moderado</t>
  </si>
  <si>
    <t>Valor a ser investido por mês</t>
  </si>
  <si>
    <t>Tipo de FII</t>
  </si>
  <si>
    <t>% sugerido</t>
  </si>
  <si>
    <t>Valor</t>
  </si>
  <si>
    <t>PAPEL</t>
  </si>
  <si>
    <t>TIJOLO</t>
  </si>
  <si>
    <t>HÍBRIDOS</t>
  </si>
  <si>
    <t>FOFs</t>
  </si>
  <si>
    <t>DESENVOLVIMENTO</t>
  </si>
  <si>
    <t>HOTELARIAS</t>
  </si>
  <si>
    <t>TOTAL</t>
  </si>
  <si>
    <t>TABELA DE APOIO — PERFIL × TIPO DE FII</t>
  </si>
  <si>
    <t>A coluna CHAVE junta perfil e tipo (ex.: Moderado-PAPEL). É ela que o PROCV procura. Edite só os % em azul.</t>
  </si>
  <si>
    <t>CHAVE</t>
  </si>
  <si>
    <t>PERFIL</t>
  </si>
  <si>
    <t>TIPO DE FII</t>
  </si>
  <si>
    <t>%</t>
  </si>
  <si>
    <t>SOMA</t>
  </si>
  <si>
    <t>CONFERÊNCIA</t>
  </si>
  <si>
    <t>Conservador</t>
  </si>
  <si>
    <t>Agressivo</t>
  </si>
  <si>
    <t>Origem dos percentuais: valores de exemplo definidos por mim para fins didáticos (cada perfil soma 100%). Não são recomendação de investimento.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</si>
</sst>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1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i/>
      <sz val="9"/>
      <color rgb="FF5A6572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b/>
      <sz val="10"/>
      <name val="Arial"/>
      <family val="2"/>
    </font>
    <font>
      <b/>
      <sz val="10"/>
      <color rgb="FF1F3A5F"/>
      <name val="Arial"/>
      <family val="2"/>
    </font>
    <font>
      <i/>
      <sz val="9"/>
      <color rgb="FF8A5A00"/>
      <name val="Arial"/>
      <family val="2"/>
    </font>
    <font>
      <b/>
      <sz val="14"/>
      <color rgb="FF1F3A5F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7D6B"/>
        <bgColor rgb="FF008080"/>
      </patternFill>
    </fill>
    <fill>
      <patternFill patternType="solid">
        <fgColor rgb="FFFFF8E1"/>
        <bgColor rgb="FFFFFFFF"/>
      </patternFill>
    </fill>
    <fill>
      <patternFill patternType="solid">
        <fgColor rgb="FFE7E9EC"/>
        <bgColor rgb="FFD9D9D9"/>
      </patternFill>
    </fill>
    <fill>
      <patternFill patternType="solid">
        <fgColor rgb="FF1F3A5F"/>
        <bgColor rgb="FF333333"/>
      </patternFill>
    </fill>
  </fills>
  <borders count="3">
    <border>
      <left/>
      <right/>
      <top/>
      <bottom/>
      <diagonal/>
    </border>
    <border>
      <left style="thin">
        <color rgb="FFBFC5CC"/>
      </left>
      <right style="thin">
        <color rgb="FFBFC5CC"/>
      </right>
      <top style="thin">
        <color rgb="FFBFC5CC"/>
      </top>
      <bottom style="thin">
        <color rgb="FFBFC5CC"/>
      </bottom>
      <diagonal/>
    </border>
    <border>
      <left/>
      <right/>
      <top/>
      <bottom style="medium">
        <color rgb="FF1F3A5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 indent="1"/>
    </xf>
    <xf numFmtId="164" fontId="5" fillId="3" borderId="1" xfId="0" applyNumberFormat="1" applyFont="1" applyFill="1" applyBorder="1" applyAlignment="1">
      <alignment horizontal="right"/>
    </xf>
    <xf numFmtId="10" fontId="5" fillId="3" borderId="1" xfId="0" applyNumberFormat="1" applyFont="1" applyFill="1" applyBorder="1" applyAlignment="1">
      <alignment horizontal="right"/>
    </xf>
    <xf numFmtId="9" fontId="5" fillId="3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1" fontId="5" fillId="3" borderId="1" xfId="0" applyNumberFormat="1" applyFont="1" applyFill="1" applyBorder="1" applyAlignment="1">
      <alignment horizontal="right"/>
    </xf>
    <xf numFmtId="0" fontId="6" fillId="0" borderId="0" xfId="0" applyFont="1" applyAlignment="1">
      <alignment vertical="center" indent="1"/>
    </xf>
    <xf numFmtId="164" fontId="6" fillId="4" borderId="1" xfId="0" applyNumberFormat="1" applyFont="1" applyFill="1" applyBorder="1" applyAlignment="1">
      <alignment horizontal="right"/>
    </xf>
    <xf numFmtId="0" fontId="7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/>
    </xf>
    <xf numFmtId="10" fontId="4" fillId="4" borderId="1" xfId="0" applyNumberFormat="1" applyFont="1" applyFill="1" applyBorder="1" applyAlignment="1">
      <alignment horizontal="right"/>
    </xf>
    <xf numFmtId="10" fontId="6" fillId="4" borderId="1" xfId="0" applyNumberFormat="1" applyFont="1" applyFill="1" applyBorder="1" applyAlignment="1">
      <alignment horizontal="right"/>
    </xf>
    <xf numFmtId="0" fontId="2" fillId="0" borderId="0" xfId="0" applyFont="1" applyAlignment="1">
      <alignment indent="1"/>
    </xf>
    <xf numFmtId="0" fontId="8" fillId="0" borderId="0" xfId="0" applyFont="1"/>
    <xf numFmtId="0" fontId="9" fillId="0" borderId="0" xfId="0" applyFont="1"/>
    <xf numFmtId="0" fontId="10" fillId="5" borderId="0" xfId="0" applyFont="1" applyFill="1" applyAlignment="1">
      <alignment horizontal="center"/>
    </xf>
    <xf numFmtId="0" fontId="4" fillId="4" borderId="1" xfId="0" applyFont="1" applyFill="1" applyBorder="1"/>
    <xf numFmtId="0" fontId="4" fillId="0" borderId="1" xfId="0" applyFont="1" applyBorder="1"/>
    <xf numFmtId="9" fontId="5" fillId="3" borderId="1" xfId="0" applyNumberFormat="1" applyFont="1" applyFill="1" applyBorder="1"/>
    <xf numFmtId="9" fontId="4" fillId="4" borderId="1" xfId="0" applyNumberFormat="1" applyFont="1" applyFill="1" applyBorder="1"/>
    <xf numFmtId="0" fontId="3" fillId="2" borderId="0" xfId="0" applyFont="1" applyFill="1" applyAlignment="1">
      <alignment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00"/>
      <rgbColor rgb="FF800080"/>
      <rgbColor rgb="FF008080"/>
      <rgbColor rgb="FFBFC5CC"/>
      <rgbColor rgb="FF8064A2"/>
      <rgbColor rgb="FF9999FF"/>
      <rgbColor rgb="FFC0504D"/>
      <rgbColor rgb="FFFFF8E1"/>
      <rgbColor rgb="FFE7E9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79646"/>
      <rgbColor rgb="FFFF6600"/>
      <rgbColor rgb="FF5A6572"/>
      <rgbColor rgb="FF8A94A0"/>
      <rgbColor rgb="FF1F3A5F"/>
      <rgbColor rgb="FF2E7D6B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Divisão do aporte por tipo de FII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Simulador!$D$31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766-4674-8225-BBDCF4A2111B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shade val="51000"/>
                    </a:schemeClr>
                  </a:gs>
                  <a:gs pos="80000">
                    <a:schemeClr val="accent2">
                      <a:shade val="93000"/>
                    </a:schemeClr>
                  </a:gs>
                  <a:gs pos="100000">
                    <a:schemeClr val="accent2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766-4674-8225-BBDCF4A2111B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shade val="51000"/>
                    </a:schemeClr>
                  </a:gs>
                  <a:gs pos="80000">
                    <a:schemeClr val="accent3">
                      <a:shade val="93000"/>
                    </a:schemeClr>
                  </a:gs>
                  <a:gs pos="100000">
                    <a:schemeClr val="accent3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766-4674-8225-BBDCF4A2111B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shade val="51000"/>
                    </a:schemeClr>
                  </a:gs>
                  <a:gs pos="80000">
                    <a:schemeClr val="accent4">
                      <a:shade val="93000"/>
                    </a:schemeClr>
                  </a:gs>
                  <a:gs pos="100000">
                    <a:schemeClr val="accent4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766-4674-8225-BBDCF4A2111B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shade val="51000"/>
                    </a:schemeClr>
                  </a:gs>
                  <a:gs pos="80000">
                    <a:schemeClr val="accent5">
                      <a:shade val="93000"/>
                    </a:schemeClr>
                  </a:gs>
                  <a:gs pos="100000">
                    <a:schemeClr val="accent5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766-4674-8225-BBDCF4A2111B}"/>
              </c:ext>
            </c:extLst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shade val="51000"/>
                    </a:schemeClr>
                  </a:gs>
                  <a:gs pos="80000">
                    <a:schemeClr val="accent6">
                      <a:shade val="93000"/>
                    </a:schemeClr>
                  </a:gs>
                  <a:gs pos="100000">
                    <a:schemeClr val="accent6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766-4674-8225-BBDCF4A211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Simulador!$B$32:$B$37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Simulador!$D$32:$D$37</c:f>
              <c:numCache>
                <c:formatCode>"R$ "#,##0.00</c:formatCode>
                <c:ptCount val="6"/>
                <c:pt idx="0">
                  <c:v>125</c:v>
                </c:pt>
                <c:pt idx="1">
                  <c:v>75</c:v>
                </c:pt>
                <c:pt idx="2">
                  <c:v>50</c:v>
                </c:pt>
                <c:pt idx="3">
                  <c:v>25</c:v>
                </c:pt>
                <c:pt idx="4">
                  <c:v>150</c:v>
                </c:pt>
                <c:pt idx="5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766-4674-8225-BBDCF4A21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</xdr:colOff>
      <xdr:row>27</xdr:row>
      <xdr:rowOff>104775</xdr:rowOff>
    </xdr:from>
    <xdr:to>
      <xdr:col>6</xdr:col>
      <xdr:colOff>1274610</xdr:colOff>
      <xdr:row>41</xdr:row>
      <xdr:rowOff>29475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6</xdr:col>
      <xdr:colOff>1177200</xdr:colOff>
      <xdr:row>3</xdr:row>
      <xdr:rowOff>9000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41120" y="190440"/>
          <a:ext cx="9353160" cy="1399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A5F"/>
  </sheetPr>
  <dimension ref="A1:G44"/>
  <sheetViews>
    <sheetView showGridLines="0" tabSelected="1" zoomScale="80" zoomScaleNormal="80" workbookViewId="0">
      <selection activeCell="C28" sqref="C28"/>
    </sheetView>
  </sheetViews>
  <sheetFormatPr defaultColWidth="0" defaultRowHeight="15" zeroHeight="1" x14ac:dyDescent="0.25"/>
  <cols>
    <col min="1" max="1" width="2" customWidth="1"/>
    <col min="2" max="2" width="36" customWidth="1"/>
    <col min="3" max="3" width="16" customWidth="1"/>
    <col min="4" max="4" width="22" customWidth="1"/>
    <col min="5" max="5" width="20" customWidth="1"/>
    <col min="6" max="6" width="22" customWidth="1"/>
    <col min="7" max="7" width="20" customWidth="1"/>
    <col min="8" max="16384" width="8.7109375" hidden="1"/>
  </cols>
  <sheetData>
    <row r="1" spans="2:7" x14ac:dyDescent="0.25"/>
    <row r="2" spans="2:7" ht="60" customHeight="1" x14ac:dyDescent="0.25"/>
    <row r="3" spans="2:7" ht="49.5" customHeight="1" x14ac:dyDescent="0.25"/>
    <row r="4" spans="2:7" x14ac:dyDescent="0.25">
      <c r="B4" s="1"/>
    </row>
    <row r="5" spans="2:7" ht="21.75" customHeight="1" x14ac:dyDescent="0.25">
      <c r="B5" s="23" t="s">
        <v>0</v>
      </c>
      <c r="C5" s="23"/>
      <c r="D5" s="23"/>
      <c r="E5" s="23"/>
      <c r="F5" s="23"/>
      <c r="G5" s="23"/>
    </row>
    <row r="6" spans="2:7" x14ac:dyDescent="0.25">
      <c r="B6" s="2" t="s">
        <v>1</v>
      </c>
      <c r="D6" s="3">
        <v>3000</v>
      </c>
    </row>
    <row r="7" spans="2:7" x14ac:dyDescent="0.25">
      <c r="B7" s="2" t="s">
        <v>2</v>
      </c>
      <c r="D7" s="4">
        <v>7.0000000000000001E-3</v>
      </c>
    </row>
    <row r="8" spans="2:7" x14ac:dyDescent="0.25">
      <c r="B8" s="2" t="s">
        <v>3</v>
      </c>
      <c r="D8" s="5">
        <v>0.3</v>
      </c>
    </row>
    <row r="9" spans="2:7" x14ac:dyDescent="0.25">
      <c r="B9" s="2" t="s">
        <v>4</v>
      </c>
      <c r="D9" s="6">
        <f>salario*pct_sugestao</f>
        <v>900</v>
      </c>
    </row>
    <row r="10" spans="2:7" x14ac:dyDescent="0.25"/>
    <row r="11" spans="2:7" ht="21.75" customHeight="1" x14ac:dyDescent="0.25">
      <c r="B11" s="23" t="s">
        <v>5</v>
      </c>
      <c r="C11" s="23"/>
      <c r="D11" s="23"/>
      <c r="E11" s="23"/>
      <c r="F11" s="23"/>
      <c r="G11" s="23"/>
    </row>
    <row r="12" spans="2:7" x14ac:dyDescent="0.25">
      <c r="B12" s="2" t="s">
        <v>6</v>
      </c>
      <c r="D12" s="3">
        <v>500</v>
      </c>
    </row>
    <row r="13" spans="2:7" x14ac:dyDescent="0.25">
      <c r="B13" s="2" t="s">
        <v>7</v>
      </c>
      <c r="D13" s="7">
        <v>10</v>
      </c>
    </row>
    <row r="14" spans="2:7" x14ac:dyDescent="0.25">
      <c r="B14" s="2" t="s">
        <v>8</v>
      </c>
      <c r="D14" s="4">
        <v>8.0000000000000002E-3</v>
      </c>
    </row>
    <row r="15" spans="2:7" x14ac:dyDescent="0.25">
      <c r="B15" s="8" t="s">
        <v>9</v>
      </c>
      <c r="D15" s="9">
        <f>FV(taxa_mensal,qtd_anos*12,-aporte)</f>
        <v>100108.73470495906</v>
      </c>
    </row>
    <row r="16" spans="2:7" x14ac:dyDescent="0.25">
      <c r="B16" s="8" t="s">
        <v>10</v>
      </c>
      <c r="D16" s="9">
        <f>patrimonio*rendimento_carteira</f>
        <v>700.76114293471346</v>
      </c>
    </row>
    <row r="17" spans="2:7" x14ac:dyDescent="0.25">
      <c r="B17" s="2" t="s">
        <v>11</v>
      </c>
      <c r="D17" s="6">
        <f>aporte*qtd_anos*12</f>
        <v>60000</v>
      </c>
    </row>
    <row r="18" spans="2:7" x14ac:dyDescent="0.25"/>
    <row r="19" spans="2:7" ht="21.75" customHeight="1" x14ac:dyDescent="0.25">
      <c r="B19" s="23" t="s">
        <v>12</v>
      </c>
      <c r="C19" s="23"/>
      <c r="D19" s="23"/>
      <c r="E19" s="23"/>
      <c r="F19" s="23"/>
      <c r="G19" s="23"/>
    </row>
    <row r="20" spans="2:7" ht="30" customHeight="1" x14ac:dyDescent="0.25">
      <c r="B20" s="10" t="s">
        <v>13</v>
      </c>
      <c r="C20" s="10" t="s">
        <v>14</v>
      </c>
      <c r="D20" s="10" t="s">
        <v>15</v>
      </c>
      <c r="E20" s="10" t="s">
        <v>16</v>
      </c>
    </row>
    <row r="21" spans="2:7" x14ac:dyDescent="0.25">
      <c r="B21" s="2" t="str">
        <f>"Quanto em "&amp;C21&amp;" anos?"</f>
        <v>Quanto em 2 anos?</v>
      </c>
      <c r="C21" s="11">
        <v>2</v>
      </c>
      <c r="D21" s="6">
        <f>FV($D$14,$C21*12,-$D$12)</f>
        <v>13171.577555559783</v>
      </c>
      <c r="E21" s="6">
        <f>D21*$D$7</f>
        <v>92.201042888918479</v>
      </c>
    </row>
    <row r="22" spans="2:7" x14ac:dyDescent="0.25">
      <c r="B22" s="2" t="str">
        <f>"Quanto em "&amp;C22&amp;" anos?"</f>
        <v>Quanto em 5 anos?</v>
      </c>
      <c r="C22" s="11">
        <v>5</v>
      </c>
      <c r="D22" s="6">
        <f>FV($D$14,$C22*12,-$D$12)</f>
        <v>38311.933415940111</v>
      </c>
      <c r="E22" s="6">
        <f>D22*$D$7</f>
        <v>268.18353391158081</v>
      </c>
    </row>
    <row r="23" spans="2:7" x14ac:dyDescent="0.25">
      <c r="B23" s="2" t="str">
        <f>"Quanto em "&amp;C23&amp;" anos?"</f>
        <v>Quanto em 10 anos?</v>
      </c>
      <c r="C23" s="11">
        <v>10</v>
      </c>
      <c r="D23" s="6">
        <f>FV($D$14,$C23*12,-$D$12)</f>
        <v>100108.73470495906</v>
      </c>
      <c r="E23" s="6">
        <f>D23*$D$7</f>
        <v>700.76114293471346</v>
      </c>
    </row>
    <row r="24" spans="2:7" x14ac:dyDescent="0.25">
      <c r="B24" s="2" t="str">
        <f>"Quanto em "&amp;C24&amp;" anos?"</f>
        <v>Quanto em 20 anos?</v>
      </c>
      <c r="C24" s="11">
        <v>20</v>
      </c>
      <c r="D24" s="6">
        <f>FV($D$14,$C24*12,-$D$12)</f>
        <v>360565.60963756416</v>
      </c>
      <c r="E24" s="6">
        <f>D24*$D$7</f>
        <v>2523.9592674629494</v>
      </c>
    </row>
    <row r="25" spans="2:7" x14ac:dyDescent="0.25">
      <c r="B25" s="2" t="str">
        <f>"Quanto em "&amp;C25&amp;" anos?"</f>
        <v>Quanto em 30 anos?</v>
      </c>
      <c r="C25" s="11">
        <v>30</v>
      </c>
      <c r="D25" s="6">
        <f>FV($D$14,$C25*12,-$D$12)</f>
        <v>1038206.6156855426</v>
      </c>
      <c r="E25" s="6">
        <f>D25*$D$7</f>
        <v>7267.4463097987982</v>
      </c>
    </row>
    <row r="26" spans="2:7" x14ac:dyDescent="0.25"/>
    <row r="27" spans="2:7" ht="21.75" customHeight="1" x14ac:dyDescent="0.25">
      <c r="B27" s="23" t="s">
        <v>17</v>
      </c>
      <c r="C27" s="23"/>
      <c r="D27" s="23"/>
      <c r="E27" s="23"/>
      <c r="F27" s="23"/>
      <c r="G27" s="23"/>
    </row>
    <row r="28" spans="2:7" x14ac:dyDescent="0.25">
      <c r="B28" s="8" t="s">
        <v>18</v>
      </c>
      <c r="C28" s="12" t="s">
        <v>40</v>
      </c>
    </row>
    <row r="29" spans="2:7" x14ac:dyDescent="0.25">
      <c r="B29" s="2" t="s">
        <v>20</v>
      </c>
      <c r="C29" s="6">
        <f>aporte</f>
        <v>500</v>
      </c>
    </row>
    <row r="30" spans="2:7" x14ac:dyDescent="0.25"/>
    <row r="31" spans="2:7" x14ac:dyDescent="0.25">
      <c r="B31" s="10" t="s">
        <v>21</v>
      </c>
      <c r="C31" s="10" t="s">
        <v>22</v>
      </c>
      <c r="D31" s="10" t="s">
        <v>23</v>
      </c>
    </row>
    <row r="32" spans="2:7" x14ac:dyDescent="0.25">
      <c r="B32" s="2" t="s">
        <v>24</v>
      </c>
      <c r="C32" s="13">
        <f t="shared" ref="C32:C37" si="0">VLOOKUP($C$28&amp;"-"&amp;B32,tabela_perfis,4,FALSE())</f>
        <v>0.25</v>
      </c>
      <c r="D32" s="6">
        <f t="shared" ref="D32:D37" si="1">C32*$C$29</f>
        <v>125</v>
      </c>
    </row>
    <row r="33" spans="2:4" x14ac:dyDescent="0.25">
      <c r="B33" s="2" t="s">
        <v>25</v>
      </c>
      <c r="C33" s="13">
        <f t="shared" si="0"/>
        <v>0.15</v>
      </c>
      <c r="D33" s="6">
        <f t="shared" si="1"/>
        <v>75</v>
      </c>
    </row>
    <row r="34" spans="2:4" x14ac:dyDescent="0.25">
      <c r="B34" s="2" t="s">
        <v>26</v>
      </c>
      <c r="C34" s="13">
        <f t="shared" si="0"/>
        <v>0.1</v>
      </c>
      <c r="D34" s="6">
        <f t="shared" si="1"/>
        <v>50</v>
      </c>
    </row>
    <row r="35" spans="2:4" x14ac:dyDescent="0.25">
      <c r="B35" s="2" t="s">
        <v>27</v>
      </c>
      <c r="C35" s="13">
        <f t="shared" si="0"/>
        <v>0.05</v>
      </c>
      <c r="D35" s="6">
        <f t="shared" si="1"/>
        <v>25</v>
      </c>
    </row>
    <row r="36" spans="2:4" x14ac:dyDescent="0.25">
      <c r="B36" s="2" t="s">
        <v>28</v>
      </c>
      <c r="C36" s="13">
        <f t="shared" si="0"/>
        <v>0.3</v>
      </c>
      <c r="D36" s="6">
        <f t="shared" si="1"/>
        <v>150</v>
      </c>
    </row>
    <row r="37" spans="2:4" x14ac:dyDescent="0.25">
      <c r="B37" s="2" t="s">
        <v>29</v>
      </c>
      <c r="C37" s="13">
        <f t="shared" si="0"/>
        <v>0.15</v>
      </c>
      <c r="D37" s="6">
        <f t="shared" si="1"/>
        <v>75</v>
      </c>
    </row>
    <row r="38" spans="2:4" x14ac:dyDescent="0.25">
      <c r="B38" s="8" t="s">
        <v>30</v>
      </c>
      <c r="C38" s="14">
        <f>SUM(C32:C37)</f>
        <v>1</v>
      </c>
      <c r="D38" s="9">
        <f>SUM(D32:D37)</f>
        <v>500</v>
      </c>
    </row>
    <row r="39" spans="2:4" x14ac:dyDescent="0.25">
      <c r="B39" s="15"/>
    </row>
    <row r="40" spans="2:4" x14ac:dyDescent="0.25"/>
    <row r="41" spans="2:4" x14ac:dyDescent="0.25"/>
    <row r="42" spans="2:4" x14ac:dyDescent="0.25"/>
    <row r="44" spans="2:4" hidden="1" x14ac:dyDescent="0.25">
      <c r="B44" s="16"/>
    </row>
  </sheetData>
  <mergeCells count="4">
    <mergeCell ref="B5:G5"/>
    <mergeCell ref="B11:G11"/>
    <mergeCell ref="B19:G19"/>
    <mergeCell ref="B27:G27"/>
  </mergeCells>
  <dataValidations count="5">
    <dataValidation type="list" showErrorMessage="1" errorTitle="Perfil inválido" error="Escolha um perfil da lista." sqref="C28" xr:uid="{00000000-0002-0000-0000-000000000000}">
      <formula1>lista_perfis</formula1>
      <formula2>0</formula2>
    </dataValidation>
    <dataValidation type="decimal" operator="greaterThanOrEqual" showErrorMessage="1" error="Digite um valor maior ou igual a zero." sqref="D6 D12" xr:uid="{00000000-0002-0000-0000-000001000000}">
      <formula1>0</formula1>
      <formula2>0</formula2>
    </dataValidation>
    <dataValidation type="whole" showErrorMessage="1" error="Informe um número inteiro de anos entre 1 e 50." sqref="D13" xr:uid="{00000000-0002-0000-0000-000002000000}">
      <formula1>1</formula1>
      <formula2>50</formula2>
    </dataValidation>
    <dataValidation type="decimal" showErrorMessage="1" error="Digite a taxa como percentual mensal (ex.: 0,8%)." sqref="D7 D14" xr:uid="{00000000-0002-0000-0000-000003000000}">
      <formula1>0</formula1>
      <formula2>0.5</formula2>
    </dataValidation>
    <dataValidation type="decimal" showErrorMessage="1" error="Digite um percentual entre 0% e 100%." sqref="D8" xr:uid="{00000000-0002-0000-0000-000004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A94A0"/>
  </sheetPr>
  <dimension ref="A1:H23"/>
  <sheetViews>
    <sheetView showGridLines="0" zoomScaleNormal="100" workbookViewId="0"/>
  </sheetViews>
  <sheetFormatPr defaultColWidth="8.7109375" defaultRowHeight="15" x14ac:dyDescent="0.25"/>
  <cols>
    <col min="1" max="1" width="28" customWidth="1"/>
    <col min="2" max="2" width="16" customWidth="1"/>
    <col min="3" max="3" width="20" customWidth="1"/>
    <col min="4" max="4" width="10" customWidth="1"/>
    <col min="5" max="5" width="3" customWidth="1"/>
    <col min="6" max="6" width="16" customWidth="1"/>
    <col min="7" max="7" width="12" customWidth="1"/>
    <col min="8" max="8" width="22" customWidth="1"/>
  </cols>
  <sheetData>
    <row r="1" spans="1:8" ht="18" x14ac:dyDescent="0.25">
      <c r="A1" s="17" t="s">
        <v>31</v>
      </c>
    </row>
    <row r="2" spans="1:8" x14ac:dyDescent="0.25">
      <c r="A2" s="1" t="s">
        <v>32</v>
      </c>
    </row>
    <row r="3" spans="1:8" x14ac:dyDescent="0.25">
      <c r="A3" s="18" t="s">
        <v>33</v>
      </c>
      <c r="B3" s="18" t="s">
        <v>34</v>
      </c>
      <c r="C3" s="18" t="s">
        <v>35</v>
      </c>
      <c r="D3" s="18" t="s">
        <v>36</v>
      </c>
      <c r="F3" s="18" t="s">
        <v>34</v>
      </c>
      <c r="G3" s="18" t="s">
        <v>37</v>
      </c>
      <c r="H3" s="18" t="s">
        <v>38</v>
      </c>
    </row>
    <row r="4" spans="1:8" x14ac:dyDescent="0.25">
      <c r="A4" s="19" t="str">
        <f t="shared" ref="A4:A21" si="0">B4&amp;"-"&amp;C4</f>
        <v>Conservador-PAPEL</v>
      </c>
      <c r="B4" s="20" t="s">
        <v>39</v>
      </c>
      <c r="C4" s="20" t="s">
        <v>24</v>
      </c>
      <c r="D4" s="21">
        <v>0.4</v>
      </c>
      <c r="F4" s="20" t="s">
        <v>39</v>
      </c>
      <c r="G4" s="22">
        <f>SUMIF($B$4:$B$21,F4,$D$4:$D$21)</f>
        <v>1</v>
      </c>
      <c r="H4" s="19" t="str">
        <f>IF(ROUND(G4,6)=1,"✔ soma 100%","✖ não soma 100%")</f>
        <v>✔ soma 100%</v>
      </c>
    </row>
    <row r="5" spans="1:8" x14ac:dyDescent="0.25">
      <c r="A5" s="19" t="str">
        <f t="shared" si="0"/>
        <v>Conservador-TIJOLO</v>
      </c>
      <c r="B5" s="20" t="s">
        <v>39</v>
      </c>
      <c r="C5" s="20" t="s">
        <v>25</v>
      </c>
      <c r="D5" s="21">
        <v>0.35</v>
      </c>
      <c r="F5" s="20" t="s">
        <v>19</v>
      </c>
      <c r="G5" s="22">
        <f>SUMIF($B$4:$B$21,F5,$D$4:$D$21)</f>
        <v>1</v>
      </c>
      <c r="H5" s="19" t="str">
        <f>IF(ROUND(G5,6)=1,"✔ soma 100%","✖ não soma 100%")</f>
        <v>✔ soma 100%</v>
      </c>
    </row>
    <row r="6" spans="1:8" x14ac:dyDescent="0.25">
      <c r="A6" s="19" t="str">
        <f t="shared" si="0"/>
        <v>Conservador-HÍBRIDOS</v>
      </c>
      <c r="B6" s="20" t="s">
        <v>39</v>
      </c>
      <c r="C6" s="20" t="s">
        <v>26</v>
      </c>
      <c r="D6" s="21">
        <v>0.15</v>
      </c>
      <c r="F6" s="20" t="s">
        <v>40</v>
      </c>
      <c r="G6" s="22">
        <f>SUMIF($B$4:$B$21,F6,$D$4:$D$21)</f>
        <v>1</v>
      </c>
      <c r="H6" s="19" t="str">
        <f>IF(ROUND(G6,6)=1,"✔ soma 100%","✖ não soma 100%")</f>
        <v>✔ soma 100%</v>
      </c>
    </row>
    <row r="7" spans="1:8" x14ac:dyDescent="0.25">
      <c r="A7" s="19" t="str">
        <f t="shared" si="0"/>
        <v>Conservador-FOFs</v>
      </c>
      <c r="B7" s="20" t="s">
        <v>39</v>
      </c>
      <c r="C7" s="20" t="s">
        <v>27</v>
      </c>
      <c r="D7" s="21">
        <v>0.1</v>
      </c>
    </row>
    <row r="8" spans="1:8" x14ac:dyDescent="0.25">
      <c r="A8" s="19" t="str">
        <f t="shared" si="0"/>
        <v>Conservador-DESENVOLVIMENTO</v>
      </c>
      <c r="B8" s="20" t="s">
        <v>39</v>
      </c>
      <c r="C8" s="20" t="s">
        <v>28</v>
      </c>
      <c r="D8" s="21">
        <v>0</v>
      </c>
    </row>
    <row r="9" spans="1:8" x14ac:dyDescent="0.25">
      <c r="A9" s="19" t="str">
        <f t="shared" si="0"/>
        <v>Conservador-HOTELARIAS</v>
      </c>
      <c r="B9" s="20" t="s">
        <v>39</v>
      </c>
      <c r="C9" s="20" t="s">
        <v>29</v>
      </c>
      <c r="D9" s="21">
        <v>0</v>
      </c>
    </row>
    <row r="10" spans="1:8" x14ac:dyDescent="0.25">
      <c r="A10" s="19" t="str">
        <f t="shared" si="0"/>
        <v>Moderado-PAPEL</v>
      </c>
      <c r="B10" s="20" t="s">
        <v>19</v>
      </c>
      <c r="C10" s="20" t="s">
        <v>24</v>
      </c>
      <c r="D10" s="21">
        <v>0.3</v>
      </c>
    </row>
    <row r="11" spans="1:8" x14ac:dyDescent="0.25">
      <c r="A11" s="19" t="str">
        <f t="shared" si="0"/>
        <v>Moderado-TIJOLO</v>
      </c>
      <c r="B11" s="20" t="s">
        <v>19</v>
      </c>
      <c r="C11" s="20" t="s">
        <v>25</v>
      </c>
      <c r="D11" s="21">
        <v>0.3</v>
      </c>
    </row>
    <row r="12" spans="1:8" x14ac:dyDescent="0.25">
      <c r="A12" s="19" t="str">
        <f t="shared" si="0"/>
        <v>Moderado-HÍBRIDOS</v>
      </c>
      <c r="B12" s="20" t="s">
        <v>19</v>
      </c>
      <c r="C12" s="20" t="s">
        <v>26</v>
      </c>
      <c r="D12" s="21">
        <v>0.15</v>
      </c>
    </row>
    <row r="13" spans="1:8" x14ac:dyDescent="0.25">
      <c r="A13" s="19" t="str">
        <f t="shared" si="0"/>
        <v>Moderado-FOFs</v>
      </c>
      <c r="B13" s="20" t="s">
        <v>19</v>
      </c>
      <c r="C13" s="20" t="s">
        <v>27</v>
      </c>
      <c r="D13" s="21">
        <v>0.1</v>
      </c>
    </row>
    <row r="14" spans="1:8" x14ac:dyDescent="0.25">
      <c r="A14" s="19" t="str">
        <f t="shared" si="0"/>
        <v>Moderado-DESENVOLVIMENTO</v>
      </c>
      <c r="B14" s="20" t="s">
        <v>19</v>
      </c>
      <c r="C14" s="20" t="s">
        <v>28</v>
      </c>
      <c r="D14" s="21">
        <v>0.1</v>
      </c>
    </row>
    <row r="15" spans="1:8" x14ac:dyDescent="0.25">
      <c r="A15" s="19" t="str">
        <f t="shared" si="0"/>
        <v>Moderado-HOTELARIAS</v>
      </c>
      <c r="B15" s="20" t="s">
        <v>19</v>
      </c>
      <c r="C15" s="20" t="s">
        <v>29</v>
      </c>
      <c r="D15" s="21">
        <v>0.05</v>
      </c>
    </row>
    <row r="16" spans="1:8" x14ac:dyDescent="0.25">
      <c r="A16" s="19" t="str">
        <f t="shared" si="0"/>
        <v>Agressivo-PAPEL</v>
      </c>
      <c r="B16" s="20" t="s">
        <v>40</v>
      </c>
      <c r="C16" s="20" t="s">
        <v>24</v>
      </c>
      <c r="D16" s="21">
        <v>0.25</v>
      </c>
    </row>
    <row r="17" spans="1:4" x14ac:dyDescent="0.25">
      <c r="A17" s="19" t="str">
        <f t="shared" si="0"/>
        <v>Agressivo-TIJOLO</v>
      </c>
      <c r="B17" s="20" t="s">
        <v>40</v>
      </c>
      <c r="C17" s="20" t="s">
        <v>25</v>
      </c>
      <c r="D17" s="21">
        <v>0.15</v>
      </c>
    </row>
    <row r="18" spans="1:4" x14ac:dyDescent="0.25">
      <c r="A18" s="19" t="str">
        <f t="shared" si="0"/>
        <v>Agressivo-HÍBRIDOS</v>
      </c>
      <c r="B18" s="20" t="s">
        <v>40</v>
      </c>
      <c r="C18" s="20" t="s">
        <v>26</v>
      </c>
      <c r="D18" s="21">
        <v>0.1</v>
      </c>
    </row>
    <row r="19" spans="1:4" x14ac:dyDescent="0.25">
      <c r="A19" s="19" t="str">
        <f t="shared" si="0"/>
        <v>Agressivo-FOFs</v>
      </c>
      <c r="B19" s="20" t="s">
        <v>40</v>
      </c>
      <c r="C19" s="20" t="s">
        <v>27</v>
      </c>
      <c r="D19" s="21">
        <v>0.05</v>
      </c>
    </row>
    <row r="20" spans="1:4" x14ac:dyDescent="0.25">
      <c r="A20" s="19" t="str">
        <f t="shared" si="0"/>
        <v>Agressivo-DESENVOLVIMENTO</v>
      </c>
      <c r="B20" s="20" t="s">
        <v>40</v>
      </c>
      <c r="C20" s="20" t="s">
        <v>28</v>
      </c>
      <c r="D20" s="21">
        <v>0.3</v>
      </c>
    </row>
    <row r="21" spans="1:4" x14ac:dyDescent="0.25">
      <c r="A21" s="19" t="str">
        <f t="shared" si="0"/>
        <v>Agressivo-HOTELARIAS</v>
      </c>
      <c r="B21" s="20" t="s">
        <v>40</v>
      </c>
      <c r="C21" s="20" t="s">
        <v>29</v>
      </c>
      <c r="D21" s="21">
        <v>0.15</v>
      </c>
    </row>
    <row r="23" spans="1:4" x14ac:dyDescent="0.25">
      <c r="A23" s="16" t="s">
        <v>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12</vt:i4>
      </vt:variant>
    </vt:vector>
  </HeadingPairs>
  <TitlesOfParts>
    <vt:vector size="14" baseType="lpstr">
      <vt:lpstr>Simulador</vt:lpstr>
      <vt:lpstr>Apoio</vt:lpstr>
      <vt:lpstr>aporte</vt:lpstr>
      <vt:lpstr>dividendos_mensais</vt:lpstr>
      <vt:lpstr>lista_perfis</vt:lpstr>
      <vt:lpstr>patrimonio</vt:lpstr>
      <vt:lpstr>pct_sugestao</vt:lpstr>
      <vt:lpstr>perfil_escolhido</vt:lpstr>
      <vt:lpstr>qtd_anos</vt:lpstr>
      <vt:lpstr>rendimento_carteira</vt:lpstr>
      <vt:lpstr>salario</vt:lpstr>
      <vt:lpstr>sugestao_investimento</vt:lpstr>
      <vt:lpstr>tabela_perfis</vt:lpstr>
      <vt:lpstr>taxa_mensal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Heloize Dums</cp:lastModifiedBy>
  <cp:revision>1</cp:revision>
  <dcterms:created xsi:type="dcterms:W3CDTF">2026-10-13T18:56:07Z</dcterms:created>
  <dcterms:modified xsi:type="dcterms:W3CDTF">2026-10-13T19:27:09Z</dcterms:modified>
  <dc:language>en-US</dc:language>
</cp:coreProperties>
</file>